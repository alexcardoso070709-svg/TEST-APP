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Stundensatz-Kalkulator" sheetId="2" state="visible" r:id="rId4"/>
    <sheet name="Break-even-Rechner" sheetId="3" state="visible" r:id="rId5"/>
    <sheet name="Steuerruecklage-Rechn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<sst xmlns="http://schemas.openxmlformats.org/spreadsheetml/2006/main" count="45" uniqueCount="41">
  <si>
    <t xml:space="preserve">Freelancer-Finanzrechner-Set</t>
  </si>
  <si>
    <t xml:space="preserve">Drei Rechner in diesem Workbook: Stundensatz-Kalkulator, Break-even-Rechner, Steuerruecklage-Rechner.</t>
  </si>
  <si>
    <t xml:space="preserve">Gelb hinterlegte Zellen = hier eigene Zahlen eintragen. Alle anderen Zellen rechnen automatisch.</t>
  </si>
  <si>
    <t xml:space="preserve">Beispielwerte sind bereits eingetragen (realistische Annahmen fuer einen Freelancer in Deutschland, 2026).</t>
  </si>
  <si>
    <t xml:space="preserve">Hinweis: Steuersaetze und Sozialabgaben sind vereinfachte Annahmen, kein Steuerberater-Ersatz.</t>
  </si>
  <si>
    <t xml:space="preserve">Stundensatz-Kalkulator</t>
  </si>
  <si>
    <t xml:space="preserve">Eingaben</t>
  </si>
  <si>
    <t xml:space="preserve">Gewuenschtes Jahres-Nettoeinkommen</t>
  </si>
  <si>
    <t xml:space="preserve">Betriebsausgaben pro Jahr (Software, Buero, Versicherung)</t>
  </si>
  <si>
    <t xml:space="preserve">Ruecklage Steuern (Anteil vom Nettoeinkommen)</t>
  </si>
  <si>
    <t xml:space="preserve">Ruecklage Kranken-/Rentenversicherung (Anteil vom Nettoeinkommen)</t>
  </si>
  <si>
    <t xml:space="preserve">Arbeitstage pro Jahr (ohne Wochenenden)</t>
  </si>
  <si>
    <t xml:space="preserve">Urlaubstage pro Jahr</t>
  </si>
  <si>
    <t xml:space="preserve">Erwartete Krankheits-/Ausfalltage pro Jahr</t>
  </si>
  <si>
    <t xml:space="preserve">Abrechenbare Stunden pro Arbeitstag</t>
  </si>
  <si>
    <t xml:space="preserve">Ergebnis</t>
  </si>
  <si>
    <t xml:space="preserve">Effektive Arbeitstage pro Jahr</t>
  </si>
  <si>
    <t xml:space="preserve">Abrechenbare Stunden pro Jahr</t>
  </si>
  <si>
    <t xml:space="preserve">Gesamtbedarf pro Jahr (Netto + Ausgaben + Ruecklagen)</t>
  </si>
  <si>
    <t xml:space="preserve">Benoetigter Stundensatz</t>
  </si>
  <si>
    <t xml:space="preserve">Entsprechender Tagessatz</t>
  </si>
  <si>
    <t xml:space="preserve">Break-even-Rechner</t>
  </si>
  <si>
    <t xml:space="preserve">Fixkosten pro Monat (Miete, Software, Versicherung)</t>
  </si>
  <si>
    <t xml:space="preserve">Variable Kosten pro Einheit/Kunde</t>
  </si>
  <si>
    <t xml:space="preserve">Verkaufspreis pro Einheit/Kunde</t>
  </si>
  <si>
    <t xml:space="preserve">Deckungsbeitrag pro Einheit (Preis - variable Kosten)</t>
  </si>
  <si>
    <t xml:space="preserve">Break-even-Menge pro Monat (Einheiten)</t>
  </si>
  <si>
    <t xml:space="preserve">Break-even-Umsatz pro Monat</t>
  </si>
  <si>
    <t xml:space="preserve">Was-waere-wenn: bei X Einheiten/Monat</t>
  </si>
  <si>
    <t xml:space="preserve">Angenommene verkaufte Einheiten pro Monat</t>
  </si>
  <si>
    <t xml:space="preserve">Umsatz</t>
  </si>
  <si>
    <t xml:space="preserve">Gesamtkosten</t>
  </si>
  <si>
    <t xml:space="preserve">Gewinn/Verlust</t>
  </si>
  <si>
    <t xml:space="preserve">Steuerruecklage-Rechner</t>
  </si>
  <si>
    <t xml:space="preserve">Erwarteter Gewinn dieses Jahr</t>
  </si>
  <si>
    <t xml:space="preserve">Geschaetzter Steuersatz (Einkommensteuer + Soli, vereinfacht)</t>
  </si>
  <si>
    <t xml:space="preserve">Sicherheitspuffer (falls Gewinn hoeher ausfaellt als erwartet)</t>
  </si>
  <si>
    <t xml:space="preserve">Bereits geleistete Steuervorauszahlungen dieses Jahr</t>
  </si>
  <si>
    <t xml:space="preserve">Erwartete Steuerlast (mit Puffer)</t>
  </si>
  <si>
    <t xml:space="preserve">Noch zurueckzulegender Betrag</t>
  </si>
  <si>
    <t xml:space="preserve">Monatlich zurueckzulegen (restliche 12 Monate)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</si>
</sst>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EUR&quot;"/>
    <numFmt numFmtId="166" formatCode="0.0%"/>
    <numFmt numFmtId="167" formatCode="0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2" t="s">
        <v>3</v>
      </c>
    </row>
    <row r="9" customFormat="false" ht="15" hidden="false" customHeight="false" outlineLevel="0" collapsed="false">
      <c r="A9" s="4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5</v>
      </c>
    </row>
    <row r="3" customFormat="false" ht="15" hidden="false" customHeight="false" outlineLevel="0" collapsed="false">
      <c r="A3" s="5" t="s">
        <v>6</v>
      </c>
    </row>
    <row r="4" customFormat="false" ht="15" hidden="false" customHeight="false" outlineLevel="0" collapsed="false">
      <c r="A4" s="2" t="s">
        <v>7</v>
      </c>
      <c r="B4" s="6" t="n">
        <v>42000</v>
      </c>
    </row>
    <row r="5" customFormat="false" ht="15" hidden="false" customHeight="false" outlineLevel="0" collapsed="false">
      <c r="A5" s="2" t="s">
        <v>8</v>
      </c>
      <c r="B5" s="6" t="n">
        <v>4800</v>
      </c>
    </row>
    <row r="6" customFormat="false" ht="15" hidden="false" customHeight="false" outlineLevel="0" collapsed="false">
      <c r="A6" s="2" t="s">
        <v>9</v>
      </c>
      <c r="B6" s="7" t="n">
        <v>0.28</v>
      </c>
    </row>
    <row r="7" customFormat="false" ht="15" hidden="false" customHeight="false" outlineLevel="0" collapsed="false">
      <c r="A7" s="2" t="s">
        <v>10</v>
      </c>
      <c r="B7" s="7" t="n">
        <v>0.2</v>
      </c>
    </row>
    <row r="8" customFormat="false" ht="15" hidden="false" customHeight="false" outlineLevel="0" collapsed="false">
      <c r="A8" s="2" t="s">
        <v>11</v>
      </c>
      <c r="B8" s="8" t="n">
        <v>260</v>
      </c>
    </row>
    <row r="9" customFormat="false" ht="15" hidden="false" customHeight="false" outlineLevel="0" collapsed="false">
      <c r="A9" s="2" t="s">
        <v>12</v>
      </c>
      <c r="B9" s="8" t="n">
        <v>28</v>
      </c>
    </row>
    <row r="10" customFormat="false" ht="15" hidden="false" customHeight="false" outlineLevel="0" collapsed="false">
      <c r="A10" s="2" t="s">
        <v>13</v>
      </c>
      <c r="B10" s="8" t="n">
        <v>10</v>
      </c>
    </row>
    <row r="11" customFormat="false" ht="15" hidden="false" customHeight="false" outlineLevel="0" collapsed="false">
      <c r="A11" s="2" t="s">
        <v>14</v>
      </c>
      <c r="B11" s="9" t="n">
        <v>5</v>
      </c>
    </row>
    <row r="13" customFormat="false" ht="15" hidden="false" customHeight="false" outlineLevel="0" collapsed="false">
      <c r="A13" s="5" t="s">
        <v>15</v>
      </c>
    </row>
    <row r="14" customFormat="false" ht="15" hidden="false" customHeight="false" outlineLevel="0" collapsed="false">
      <c r="A14" s="2" t="s">
        <v>16</v>
      </c>
      <c r="B14" s="10" t="n">
        <f aca="false">B8-B9-B10</f>
        <v>222</v>
      </c>
    </row>
    <row r="15" customFormat="false" ht="15" hidden="false" customHeight="false" outlineLevel="0" collapsed="false">
      <c r="A15" s="2" t="s">
        <v>17</v>
      </c>
      <c r="B15" s="10" t="n">
        <f aca="false">B14*B11</f>
        <v>1110</v>
      </c>
    </row>
    <row r="16" customFormat="false" ht="15" hidden="false" customHeight="false" outlineLevel="0" collapsed="false">
      <c r="A16" s="2" t="s">
        <v>18</v>
      </c>
      <c r="B16" s="11" t="n">
        <f aca="false">B4+B5+(B4*B6)+(B4*B7)</f>
        <v>66960</v>
      </c>
    </row>
    <row r="17" customFormat="false" ht="15" hidden="false" customHeight="false" outlineLevel="0" collapsed="false">
      <c r="A17" s="3" t="s">
        <v>19</v>
      </c>
      <c r="B17" s="12" t="n">
        <f aca="false">B16/B15</f>
        <v>60.3243243243243</v>
      </c>
    </row>
    <row r="18" customFormat="false" ht="15" hidden="false" customHeight="false" outlineLevel="0" collapsed="false">
      <c r="A18" s="3" t="s">
        <v>20</v>
      </c>
      <c r="B18" s="12" t="n">
        <f aca="false">B17*B11</f>
        <v>301.621621621622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5" t="s">
        <v>6</v>
      </c>
    </row>
    <row r="4" customFormat="false" ht="15" hidden="false" customHeight="false" outlineLevel="0" collapsed="false">
      <c r="A4" s="2" t="s">
        <v>22</v>
      </c>
      <c r="B4" s="6" t="n">
        <v>650</v>
      </c>
    </row>
    <row r="5" customFormat="false" ht="15" hidden="false" customHeight="false" outlineLevel="0" collapsed="false">
      <c r="A5" s="2" t="s">
        <v>23</v>
      </c>
      <c r="B5" s="6" t="n">
        <v>5</v>
      </c>
    </row>
    <row r="6" customFormat="false" ht="15" hidden="false" customHeight="false" outlineLevel="0" collapsed="false">
      <c r="A6" s="2" t="s">
        <v>24</v>
      </c>
      <c r="B6" s="6" t="n">
        <v>25</v>
      </c>
    </row>
    <row r="8" customFormat="false" ht="15" hidden="false" customHeight="false" outlineLevel="0" collapsed="false">
      <c r="A8" s="5" t="s">
        <v>15</v>
      </c>
    </row>
    <row r="9" customFormat="false" ht="15" hidden="false" customHeight="false" outlineLevel="0" collapsed="false">
      <c r="A9" s="2" t="s">
        <v>25</v>
      </c>
      <c r="B9" s="11" t="n">
        <f aca="false">B6-B5</f>
        <v>20</v>
      </c>
    </row>
    <row r="10" customFormat="false" ht="15" hidden="false" customHeight="false" outlineLevel="0" collapsed="false">
      <c r="A10" s="3" t="s">
        <v>26</v>
      </c>
      <c r="B10" s="13" t="n">
        <f aca="false">B4/B9</f>
        <v>32.5</v>
      </c>
    </row>
    <row r="11" customFormat="false" ht="15" hidden="false" customHeight="false" outlineLevel="0" collapsed="false">
      <c r="A11" s="3" t="s">
        <v>27</v>
      </c>
      <c r="B11" s="12" t="n">
        <f aca="false">B10*B6</f>
        <v>812.5</v>
      </c>
    </row>
    <row r="13" customFormat="false" ht="15" hidden="false" customHeight="false" outlineLevel="0" collapsed="false">
      <c r="A13" s="5" t="s">
        <v>28</v>
      </c>
    </row>
    <row r="14" customFormat="false" ht="15" hidden="false" customHeight="false" outlineLevel="0" collapsed="false">
      <c r="A14" s="2" t="s">
        <v>29</v>
      </c>
      <c r="B14" s="8" t="n">
        <v>40</v>
      </c>
    </row>
    <row r="15" customFormat="false" ht="15" hidden="false" customHeight="false" outlineLevel="0" collapsed="false">
      <c r="A15" s="2" t="s">
        <v>30</v>
      </c>
      <c r="B15" s="11" t="n">
        <f aca="false">B14*B6</f>
        <v>1000</v>
      </c>
    </row>
    <row r="16" customFormat="false" ht="15" hidden="false" customHeight="false" outlineLevel="0" collapsed="false">
      <c r="A16" s="2" t="s">
        <v>31</v>
      </c>
      <c r="B16" s="11" t="n">
        <f aca="false">B4+(B14*B5)</f>
        <v>850</v>
      </c>
    </row>
    <row r="17" customFormat="false" ht="15" hidden="false" customHeight="false" outlineLevel="0" collapsed="false">
      <c r="A17" s="3" t="s">
        <v>32</v>
      </c>
      <c r="B17" s="12" t="n">
        <f aca="false">B15-B16</f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6</v>
      </c>
    </row>
    <row r="4" customFormat="false" ht="15" hidden="false" customHeight="false" outlineLevel="0" collapsed="false">
      <c r="A4" s="2" t="s">
        <v>34</v>
      </c>
      <c r="B4" s="6" t="n">
        <v>35000</v>
      </c>
    </row>
    <row r="5" customFormat="false" ht="15" hidden="false" customHeight="false" outlineLevel="0" collapsed="false">
      <c r="A5" s="2" t="s">
        <v>35</v>
      </c>
      <c r="B5" s="7" t="n">
        <v>0.27</v>
      </c>
    </row>
    <row r="6" customFormat="false" ht="15" hidden="false" customHeight="false" outlineLevel="0" collapsed="false">
      <c r="A6" s="2" t="s">
        <v>36</v>
      </c>
      <c r="B6" s="7" t="n">
        <v>0.1</v>
      </c>
    </row>
    <row r="7" customFormat="false" ht="15" hidden="false" customHeight="false" outlineLevel="0" collapsed="false">
      <c r="A7" s="2" t="s">
        <v>37</v>
      </c>
      <c r="B7" s="6" t="n">
        <v>0</v>
      </c>
    </row>
    <row r="9" customFormat="false" ht="15" hidden="false" customHeight="false" outlineLevel="0" collapsed="false">
      <c r="A9" s="5" t="s">
        <v>15</v>
      </c>
    </row>
    <row r="10" customFormat="false" ht="15" hidden="false" customHeight="false" outlineLevel="0" collapsed="false">
      <c r="A10" s="2" t="s">
        <v>38</v>
      </c>
      <c r="B10" s="11" t="n">
        <f aca="false">B4*B5*(1+B6)</f>
        <v>10395</v>
      </c>
    </row>
    <row r="11" customFormat="false" ht="15" hidden="false" customHeight="false" outlineLevel="0" collapsed="false">
      <c r="A11" s="2" t="s">
        <v>39</v>
      </c>
      <c r="B11" s="11" t="n">
        <f aca="false">B10-B7</f>
        <v>10395</v>
      </c>
    </row>
    <row r="12" customFormat="false" ht="15" hidden="false" customHeight="false" outlineLevel="0" collapsed="false">
      <c r="A12" s="3" t="s">
        <v>40</v>
      </c>
      <c r="B12" s="12" t="n">
        <f aca="false">B11/12</f>
        <v>866.25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2026-09-25T22:44:23Z</dcterms:created>
  <dc:creator>openpyxl</dc:creator>
  <dc:description/>
  <dc:language>en-US</dc:language>
  <cp:lastModifiedBy/>
  <dcterms:modified xsi:type="dcterms:W3CDTF">2026-09-25T22:44:23Z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